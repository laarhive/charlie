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tu\WebstormProjects\charlie\docs\world-layout\"/>
    </mc:Choice>
  </mc:AlternateContent>
  <xr:revisionPtr revIDLastSave="0" documentId="13_ncr:1_{03D64B65-642E-4061-A2E7-BEFEBA07FDF2}" xr6:coauthVersionLast="47" xr6:coauthVersionMax="47" xr10:uidLastSave="{00000000-0000-0000-0000-000000000000}"/>
  <bookViews>
    <workbookView xWindow="8775" yWindow="5880" windowWidth="43200" windowHeight="23445" xr2:uid="{E5B83444-DB75-42A1-9FC7-37413EDD516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J11" i="1"/>
  <c r="I11" i="1"/>
  <c r="D7" i="1"/>
  <c r="C12" i="1" l="1"/>
  <c r="C13" i="1"/>
  <c r="C11" i="1"/>
  <c r="F12" i="1" a="1"/>
  <c r="E13" i="1" a="1"/>
  <c r="E12" i="1" a="1"/>
  <c r="E11" i="1" a="1"/>
  <c r="F11" i="1" a="1"/>
  <c r="F12" i="1" l="1"/>
  <c r="H11" i="1"/>
  <c r="E12" i="1"/>
  <c r="E13" i="1"/>
  <c r="F13" i="1"/>
  <c r="G13" i="1" s="1"/>
  <c r="J13" i="1" s="1"/>
  <c r="H13" i="1"/>
  <c r="E11" i="1"/>
  <c r="F11" i="1"/>
  <c r="G11" i="1" a="1"/>
  <c r="I13" i="1" l="1"/>
  <c r="G11" i="1"/>
  <c r="H12" i="1"/>
  <c r="G12" i="1"/>
  <c r="J12" i="1" s="1"/>
  <c r="I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<sst xmlns="http://schemas.openxmlformats.org/spreadsheetml/2006/main" count="18" uniqueCount="18">
  <si>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R1</t>
  </si>
  <si>
    <t>R0</t>
  </si>
  <si>
    <t>R2</t>
  </si>
  <si>
    <t>Mijloc</t>
  </si>
  <si>
    <t>Taietura -&gt;</t>
  </si>
  <si>
    <t>&lt;-Taietura</t>
  </si>
  <si>
    <t>Circumferinta tub exterior</t>
  </si>
  <si>
    <t>Radar latime</t>
  </si>
  <si>
    <t>Radar inaltime</t>
  </si>
  <si>
    <t xml:space="preserve">rost vereastra de vedere </t>
  </si>
  <si>
    <t>Muchie
&lt;- suppor</t>
  </si>
  <si>
    <t>Suport latime</t>
  </si>
  <si>
    <t>Suport latime arc</t>
  </si>
  <si>
    <t>Descentrare</t>
  </si>
  <si>
    <t>Verificare</t>
  </si>
  <si>
    <t>FOV</t>
  </si>
  <si>
    <t>Muchie
suppor -&gt;</t>
  </si>
  <si>
    <t>Charlie front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</si>
</sst>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8D467-FE9D-4D30-8872-38E4E8E84178}">
  <sheetPr codeName="Sheet1"/>
  <dimension ref="A1:J19"/>
  <sheetViews>
    <sheetView tabSelected="1" workbookViewId="0">
      <selection activeCell="A14" sqref="A14"/>
    </sheetView>
  </sheetViews>
  <sheetFormatPr defaultRowHeight="15" x14ac:dyDescent="0.25"/>
  <cols>
    <col min="1" max="1" width="13.28515625" customWidth="1"/>
    <col min="2" max="2" width="7.7109375" customWidth="1"/>
    <col min="3" max="3" width="13.28515625" bestFit="1" customWidth="1"/>
    <col min="4" max="4" width="8" customWidth="1"/>
    <col min="5" max="5" width="9.28515625" bestFit="1" customWidth="1"/>
    <col min="6" max="6" width="10.42578125" bestFit="1" customWidth="1"/>
    <col min="7" max="7" width="10" bestFit="1" customWidth="1"/>
    <col min="8" max="8" width="10" customWidth="1"/>
  </cols>
  <sheetData>
    <row r="1" spans="1:10" x14ac:dyDescent="0.25">
      <c r="A1" t="s">
        <v>6</v>
      </c>
      <c r="D1">
        <v>347</v>
      </c>
    </row>
    <row r="2" spans="1:10" x14ac:dyDescent="0.25">
      <c r="A2" t="s">
        <v>7</v>
      </c>
      <c r="D2">
        <v>32</v>
      </c>
    </row>
    <row r="3" spans="1:10" x14ac:dyDescent="0.25">
      <c r="A3" t="s">
        <v>8</v>
      </c>
      <c r="D3">
        <v>49.5</v>
      </c>
    </row>
    <row r="4" spans="1:10" x14ac:dyDescent="0.25">
      <c r="A4" t="s">
        <v>9</v>
      </c>
      <c r="D4">
        <v>2</v>
      </c>
    </row>
    <row r="5" spans="1:10" x14ac:dyDescent="0.25">
      <c r="A5" t="s">
        <v>11</v>
      </c>
      <c r="D5">
        <v>48</v>
      </c>
    </row>
    <row r="6" spans="1:10" x14ac:dyDescent="0.25">
      <c r="A6" t="s">
        <v>12</v>
      </c>
      <c r="D6">
        <v>50</v>
      </c>
    </row>
    <row r="7" spans="1:10" x14ac:dyDescent="0.25">
      <c r="A7" t="s">
        <v>13</v>
      </c>
      <c r="D7">
        <f>-13.78+12.22</f>
        <v>-1.5599999999999987</v>
      </c>
    </row>
    <row r="8" spans="1:10" x14ac:dyDescent="0.25">
      <c r="A8" t="s">
        <v>15</v>
      </c>
      <c r="D8">
        <v>120</v>
      </c>
    </row>
    <row r="10" spans="1:10" ht="30" x14ac:dyDescent="0.25">
      <c r="C10" t="s">
        <v>3</v>
      </c>
      <c r="E10" s="2" t="s">
        <v>16</v>
      </c>
      <c r="F10" t="s">
        <v>4</v>
      </c>
      <c r="G10" t="s">
        <v>5</v>
      </c>
      <c r="H10" s="2" t="s">
        <v>10</v>
      </c>
      <c r="I10" t="s">
        <v>14</v>
      </c>
    </row>
    <row r="11" spans="1:10" x14ac:dyDescent="0.25">
      <c r="A11" s="3" t="s">
        <v>1</v>
      </c>
      <c r="B11">
        <v>45</v>
      </c>
      <c r="C11" s="1">
        <f>D$1/360*B11</f>
        <v>43.375</v>
      </c>
      <c r="E11" s="1" cm="1">
        <f t="array" ref="E11">NormalizeCirc(C11-$D$6/2+$D$7-1,$D$1)</f>
        <v>15.815000000000001</v>
      </c>
      <c r="F11" s="1" cm="1">
        <f t="array" ref="F11">NormalizeCirc(C11-$D$4-$D$2/2,$D$1)</f>
        <v>25.375</v>
      </c>
      <c r="G11" s="1" cm="1">
        <f t="array" ref="G11">NormalizeCirc(F11+$D$2+2*$D$4,$D$1)</f>
        <v>61.375</v>
      </c>
      <c r="H11" s="1">
        <f>C11+$D$6/2+$D$7+1</f>
        <v>67.814999999999998</v>
      </c>
      <c r="I11" s="1">
        <f>H11-E11-$D$6</f>
        <v>2</v>
      </c>
      <c r="J11" s="1">
        <f>G11-F11-$D$2-2*$D$4</f>
        <v>0</v>
      </c>
    </row>
    <row r="12" spans="1:10" x14ac:dyDescent="0.25">
      <c r="A12" s="3" t="s">
        <v>0</v>
      </c>
      <c r="B12">
        <v>135</v>
      </c>
      <c r="C12" s="1">
        <f>D$1/360*B12</f>
        <v>130.125</v>
      </c>
      <c r="E12" s="1" cm="1">
        <f t="array" ref="E12">NormalizeCirc(C12-$D$6/2+$D$7-1,$D$1)</f>
        <v>102.565</v>
      </c>
      <c r="F12" s="1" cm="1">
        <f t="array" ref="F12">NormalizeCirc(C12-$D$4-$D$2/2,$D$1)</f>
        <v>112.125</v>
      </c>
      <c r="G12" s="1">
        <f>F12+$D$2+2*$D$4</f>
        <v>148.125</v>
      </c>
      <c r="H12" s="1">
        <f>C12+$D$6/2+$D$7+1</f>
        <v>154.565</v>
      </c>
      <c r="I12" s="1">
        <f>H12-E12-$D$6</f>
        <v>2</v>
      </c>
      <c r="J12" s="1">
        <f>G12-F12-$D$2-2*$D$4</f>
        <v>0</v>
      </c>
    </row>
    <row r="13" spans="1:10" x14ac:dyDescent="0.25">
      <c r="A13" s="3" t="s">
        <v>2</v>
      </c>
      <c r="B13">
        <v>315</v>
      </c>
      <c r="C13" s="1">
        <f>D$1/360*B13</f>
        <v>303.625</v>
      </c>
      <c r="E13" s="1" cm="1">
        <f t="array" ref="E13">NormalizeCirc(C13-$D$6/2+$D$7-1,$D$1)</f>
        <v>276.065</v>
      </c>
      <c r="F13" s="1">
        <f>C13-$D$4-$D$2/2</f>
        <v>285.625</v>
      </c>
      <c r="G13" s="1">
        <f>F13+$D$2+2*$D$4</f>
        <v>321.625</v>
      </c>
      <c r="H13" s="1">
        <f>C13+$D$6/2+$D$7+1</f>
        <v>328.065</v>
      </c>
      <c r="I13" s="1">
        <f>H13-E13-$D$6</f>
        <v>2</v>
      </c>
      <c r="J13" s="1">
        <f>G13-F13-$D$2-2*$D$4</f>
        <v>0</v>
      </c>
    </row>
    <row r="14" spans="1:10" x14ac:dyDescent="0.25">
      <c r="A14" s="3" t="s">
        <v>17</v>
      </c>
      <c r="B14">
        <v>54</v>
      </c>
      <c r="C14" s="1">
        <f>D$1/360*B14</f>
        <v>52.050000000000004</v>
      </c>
    </row>
    <row r="15" spans="1:10" x14ac:dyDescent="0.25">
      <c r="C15" s="3"/>
      <c r="D15" s="3"/>
    </row>
    <row r="16" spans="1:10" x14ac:dyDescent="0.25">
      <c r="C16" s="3"/>
      <c r="D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</sheetData>
  <pageMargins left="0.25" right="0.25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Clinciu</dc:creator>
  <cp:lastModifiedBy>Adrian Clinciu</cp:lastModifiedBy>
  <cp:lastPrinted>2026-02-19T16:21:06Z</cp:lastPrinted>
  <dcterms:created xsi:type="dcterms:W3CDTF">2026-02-17T13:39:26Z</dcterms:created>
  <dcterms:modified xsi:type="dcterms:W3CDTF">2026-02-19T20:37:02Z</dcterms:modified>
</cp:coreProperties>
</file>